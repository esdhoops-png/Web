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ómina" sheetId="1" state="visible" r:id="rId1"/>
  </sheets>
  <definedNames>
    <definedName name="_xlnm.Print_Area" localSheetId="0">'Nómina'!$A$1:$G$59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.00 &quot;€&quot;;-#,##0.00 &quot;€&quot;;&quot;-&quot;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2"/>
    </font>
    <font>
      <name val="Arial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FFF2CC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vertical="center" wrapText="1"/>
    </xf>
    <xf numFmtId="0" fontId="3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4" fontId="3" fillId="3" borderId="1" pivotButton="0" quotePrefix="0" xfId="0"/>
    <xf numFmtId="164" fontId="3" fillId="3" borderId="1" pivotButton="0" quotePrefix="0" xfId="0"/>
    <xf numFmtId="165" fontId="5" fillId="0" borderId="1" pivotButton="0" quotePrefix="0" xfId="0"/>
    <xf numFmtId="0" fontId="4" fillId="4" borderId="1" applyAlignment="1" pivotButton="0" quotePrefix="0" xfId="0">
      <alignment horizontal="right" vertical="center" wrapText="1"/>
    </xf>
    <xf numFmtId="164" fontId="4" fillId="4" borderId="1" pivotButton="0" quotePrefix="0" xfId="0"/>
    <xf numFmtId="0" fontId="5" fillId="0" borderId="1" applyAlignment="1" pivotButton="0" quotePrefix="0" xfId="0">
      <alignment horizontal="right" vertical="center" wrapText="1"/>
    </xf>
    <xf numFmtId="164" fontId="5" fillId="0" borderId="1" pivotButton="0" quotePrefix="0" xfId="0"/>
    <xf numFmtId="10" fontId="3" fillId="3" borderId="1" pivotButton="0" quotePrefix="0" xfId="0"/>
    <xf numFmtId="165" fontId="3" fillId="3" borderId="1" pivotButton="0" quotePrefix="0" xfId="0"/>
    <xf numFmtId="0" fontId="6" fillId="2" borderId="1" applyAlignment="1" pivotButton="0" quotePrefix="0" xfId="0">
      <alignment horizontal="right" vertical="center" wrapText="1"/>
    </xf>
    <xf numFmtId="164" fontId="6" fillId="2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Plantilla</author>
  </authors>
  <commentList>
    <comment ref="B22" authorId="0" shapeId="0">
      <text>
        <t>Salario bruto mensual de 3.800 €. Si se reparte en varios conceptos (complementos, prorrata de pagas), ajusta estas filas para que sumen lo pactado en el contrato.</t>
      </text>
    </comment>
    <comment ref="B28" authorId="0" shapeId="0">
      <text>
        <t>Las dietas dentro de los límites del art. 9 RIRPF están exentas de IRPF y no cotizan. Revisar según cada caso.</t>
      </text>
    </comment>
    <comment ref="A35" authorId="0" shapeId="0">
      <text>
        <t>Suma de conceptos marcados 'S' en Cotiza SS. Comprobar que no queda por debajo de la base mínima del grupo de cotización.</t>
      </text>
    </comment>
    <comment ref="D39" authorId="0" shapeId="0">
      <text>
        <t>Tipo trabajador 4,70 %. Revisar cada año.</t>
      </text>
    </comment>
    <comment ref="D40" authorId="0" shapeId="0">
      <text>
        <t>MEI a cargo del trabajador: 0,15 % en 2026 (0,13 % en 2025). Revisar cada año.</t>
      </text>
    </comment>
    <comment ref="D41" authorId="0" shapeId="0">
      <text>
        <t>1,55 % contrato indefinido; 1,60 % contrato temporal.</t>
      </text>
    </comment>
    <comment ref="D42" authorId="0" shapeId="0">
      <text>
        <t>0,10 % a cargo del trabajador.</t>
      </text>
    </comment>
    <comment ref="D43" authorId="0" shapeId="0">
      <text>
        <t>18 % orientativo. Calcular con el simulador de retenciones de la AEAT según la situación del trabajador.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9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1" customWidth="1" min="3" max="3"/>
    <col width="12" customWidth="1" min="4" max="4"/>
    <col width="13" customWidth="1" min="5" max="5"/>
    <col width="13" customWidth="1" min="6" max="6"/>
    <col width="11" customWidth="1" min="7" max="7"/>
  </cols>
  <sheetData>
    <row r="1">
      <c r="A1" s="1" t="inlineStr">
        <is>
          <t>RECIBO DE SALARIOS</t>
        </is>
      </c>
    </row>
    <row r="2">
      <c r="A2" s="2" t="inlineStr">
        <is>
          <t>Periodo:</t>
        </is>
      </c>
      <c r="B2" s="3" t="inlineStr">
        <is>
          <t>01/09/2026 - 30/09/2026</t>
        </is>
      </c>
      <c r="D2" s="2" t="inlineStr">
        <is>
          <t>Total días:</t>
        </is>
      </c>
      <c r="E2" s="3" t="n">
        <v>30</v>
      </c>
      <c r="F2" s="2" t="inlineStr">
        <is>
          <t>Moneda:</t>
        </is>
      </c>
      <c r="G2" s="2" t="inlineStr">
        <is>
          <t>EUR</t>
        </is>
      </c>
    </row>
    <row r="4">
      <c r="A4" s="4" t="inlineStr">
        <is>
          <t>Datos de la empresa</t>
        </is>
      </c>
    </row>
    <row r="5">
      <c r="A5" s="5" t="inlineStr">
        <is>
          <t>Empresa</t>
        </is>
      </c>
      <c r="B5" s="6" t="n"/>
      <c r="C5" s="5" t="inlineStr">
        <is>
          <t>Domicilio</t>
        </is>
      </c>
      <c r="D5" s="6" t="n"/>
      <c r="E5" s="6" t="n"/>
      <c r="F5" s="5" t="inlineStr">
        <is>
          <t>CIF</t>
        </is>
      </c>
      <c r="G5" s="6" t="n"/>
    </row>
    <row r="6" ht="28" customHeight="1">
      <c r="A6" s="7" t="inlineStr">
        <is>
          <t>Club Deportivo ESD Hoops</t>
        </is>
      </c>
      <c r="B6" s="6" t="n"/>
      <c r="C6" s="8" t="inlineStr">
        <is>
          <t>C/ Pedro Cabrera Hernández, nº 3, Oficina 3, Barrio Contrapeso, 35215</t>
        </is>
      </c>
      <c r="D6" s="6" t="n"/>
      <c r="E6" s="6" t="n"/>
      <c r="F6" s="7" t="inlineStr">
        <is>
          <t>G93916039</t>
        </is>
      </c>
      <c r="G6" s="6" t="n"/>
    </row>
    <row r="7">
      <c r="A7" s="5" t="inlineStr">
        <is>
          <t>Nº Inscripción SS (CCC)</t>
        </is>
      </c>
      <c r="B7" s="6" t="n"/>
      <c r="C7" s="5" t="inlineStr">
        <is>
          <t>Convenio aplicable</t>
        </is>
      </c>
      <c r="D7" s="6" t="n"/>
      <c r="E7" s="6" t="n"/>
      <c r="F7" s="5" t="inlineStr">
        <is>
          <t>Mes/Año</t>
        </is>
      </c>
      <c r="G7" s="6" t="n"/>
    </row>
    <row r="8">
      <c r="A8" s="9" t="inlineStr"/>
      <c r="B8" s="6" t="n"/>
      <c r="C8" s="9" t="inlineStr"/>
      <c r="D8" s="6" t="n"/>
      <c r="E8" s="6" t="n"/>
      <c r="F8" s="9" t="inlineStr">
        <is>
          <t>09/2026</t>
        </is>
      </c>
      <c r="G8" s="6" t="n"/>
    </row>
    <row r="10">
      <c r="A10" s="4" t="inlineStr">
        <is>
          <t>Datos del trabajador</t>
        </is>
      </c>
    </row>
    <row r="11">
      <c r="A11" s="5" t="inlineStr">
        <is>
          <t>Empleado</t>
        </is>
      </c>
      <c r="B11" s="6" t="n"/>
      <c r="C11" s="5" t="inlineStr">
        <is>
          <t>Domicilio</t>
        </is>
      </c>
      <c r="D11" s="6" t="n"/>
      <c r="E11" s="6" t="n"/>
      <c r="F11" s="5" t="inlineStr">
        <is>
          <t>DNI / NIE</t>
        </is>
      </c>
      <c r="G11" s="6" t="n"/>
    </row>
    <row r="12">
      <c r="A12" s="9" t="inlineStr"/>
      <c r="B12" s="6" t="n"/>
      <c r="C12" s="9" t="inlineStr"/>
      <c r="D12" s="6" t="n"/>
      <c r="E12" s="6" t="n"/>
      <c r="F12" s="9" t="inlineStr"/>
      <c r="G12" s="6" t="n"/>
    </row>
    <row r="13">
      <c r="A13" s="5" t="inlineStr">
        <is>
          <t>Nº Personal</t>
        </is>
      </c>
      <c r="B13" s="6" t="n"/>
      <c r="C13" s="5" t="inlineStr">
        <is>
          <t>Categoría / Puesto</t>
        </is>
      </c>
      <c r="D13" s="6" t="n"/>
      <c r="E13" s="6" t="n"/>
      <c r="F13" s="5" t="inlineStr">
        <is>
          <t>Antigüedad</t>
        </is>
      </c>
      <c r="G13" s="6" t="n"/>
    </row>
    <row r="14">
      <c r="A14" s="9" t="inlineStr"/>
      <c r="B14" s="6" t="n"/>
      <c r="C14" s="9" t="inlineStr"/>
      <c r="D14" s="6" t="n"/>
      <c r="E14" s="6" t="n"/>
      <c r="F14" s="9" t="inlineStr"/>
      <c r="G14" s="6" t="n"/>
    </row>
    <row r="15">
      <c r="A15" s="5" t="inlineStr">
        <is>
          <t>Grupo Profesional</t>
        </is>
      </c>
      <c r="B15" s="6" t="n"/>
      <c r="C15" s="5" t="inlineStr">
        <is>
          <t>Grupo de Cotización</t>
        </is>
      </c>
      <c r="D15" s="6" t="n"/>
      <c r="E15" s="6" t="n"/>
      <c r="F15" s="5" t="inlineStr">
        <is>
          <t>Nº Afiliación SS</t>
        </is>
      </c>
      <c r="G15" s="6" t="n"/>
    </row>
    <row r="16">
      <c r="A16" s="9" t="inlineStr"/>
      <c r="B16" s="6" t="n"/>
      <c r="C16" s="9" t="inlineStr"/>
      <c r="D16" s="6" t="n"/>
      <c r="E16" s="6" t="n"/>
      <c r="F16" s="9" t="inlineStr"/>
      <c r="G16" s="6" t="n"/>
    </row>
    <row r="17">
      <c r="A17" s="5" t="inlineStr">
        <is>
          <t>Tipo de contrato</t>
        </is>
      </c>
      <c r="B17" s="6" t="n"/>
      <c r="C17" s="5" t="inlineStr"/>
      <c r="D17" s="6" t="n"/>
      <c r="E17" s="6" t="n"/>
      <c r="F17" s="5" t="inlineStr"/>
      <c r="G17" s="6" t="n"/>
    </row>
    <row r="18">
      <c r="A18" s="9" t="inlineStr">
        <is>
          <t>Indefinido</t>
        </is>
      </c>
      <c r="B18" s="6" t="n"/>
      <c r="C18" s="7" t="inlineStr"/>
      <c r="D18" s="6" t="n"/>
      <c r="E18" s="6" t="n"/>
      <c r="F18" s="7" t="inlineStr"/>
      <c r="G18" s="6" t="n"/>
    </row>
    <row r="20">
      <c r="A20" s="10" t="inlineStr">
        <is>
          <t>Clave</t>
        </is>
      </c>
      <c r="B20" s="10" t="inlineStr">
        <is>
          <t>Descripción</t>
        </is>
      </c>
      <c r="C20" s="10" t="inlineStr">
        <is>
          <t>Unidades</t>
        </is>
      </c>
      <c r="D20" s="10" t="inlineStr">
        <is>
          <t>Precio/Ud.</t>
        </is>
      </c>
      <c r="E20" s="10" t="inlineStr">
        <is>
          <t>Devengo</t>
        </is>
      </c>
      <c r="F20" s="10" t="inlineStr">
        <is>
          <t>Cotiza SS</t>
        </is>
      </c>
      <c r="G20" s="10" t="inlineStr">
        <is>
          <t>Tributa IRPF</t>
        </is>
      </c>
    </row>
    <row r="21">
      <c r="A21" s="11" t="inlineStr">
        <is>
          <t>Devengos (percepciones):</t>
        </is>
      </c>
    </row>
    <row r="22">
      <c r="A22" s="12" t="inlineStr">
        <is>
          <t>001</t>
        </is>
      </c>
      <c r="B22" s="9" t="inlineStr">
        <is>
          <t>Salario base mensual</t>
        </is>
      </c>
      <c r="C22" s="13" t="n">
        <v>1</v>
      </c>
      <c r="D22" s="14" t="n">
        <v>3800</v>
      </c>
      <c r="E22" s="15">
        <f>IF(AND(C22&lt;&gt;"",D22&lt;&gt;""),C22*D22,0)</f>
        <v/>
      </c>
      <c r="F22" s="3" t="inlineStr">
        <is>
          <t>S</t>
        </is>
      </c>
      <c r="G22" s="3" t="inlineStr">
        <is>
          <t>S</t>
        </is>
      </c>
    </row>
    <row r="23">
      <c r="A23" s="12" t="inlineStr">
        <is>
          <t>002</t>
        </is>
      </c>
      <c r="B23" s="9" t="inlineStr">
        <is>
          <t>Complemento de puesto</t>
        </is>
      </c>
      <c r="C23" s="13" t="n"/>
      <c r="D23" s="14" t="n"/>
      <c r="E23" s="15">
        <f>IF(AND(C23&lt;&gt;"",D23&lt;&gt;""),C23*D23,0)</f>
        <v/>
      </c>
      <c r="F23" s="3" t="inlineStr">
        <is>
          <t>S</t>
        </is>
      </c>
      <c r="G23" s="3" t="inlineStr">
        <is>
          <t>S</t>
        </is>
      </c>
    </row>
    <row r="24">
      <c r="A24" s="12" t="inlineStr">
        <is>
          <t>003</t>
        </is>
      </c>
      <c r="B24" s="9" t="inlineStr">
        <is>
          <t>Plus de transporte</t>
        </is>
      </c>
      <c r="C24" s="13" t="n"/>
      <c r="D24" s="14" t="n"/>
      <c r="E24" s="15">
        <f>IF(AND(C24&lt;&gt;"",D24&lt;&gt;""),C24*D24,0)</f>
        <v/>
      </c>
      <c r="F24" s="3" t="inlineStr">
        <is>
          <t>S</t>
        </is>
      </c>
      <c r="G24" s="3" t="inlineStr">
        <is>
          <t>S</t>
        </is>
      </c>
    </row>
    <row r="25">
      <c r="A25" s="12" t="inlineStr">
        <is>
          <t>004</t>
        </is>
      </c>
      <c r="B25" s="9" t="inlineStr">
        <is>
          <t>Horas extraordinarias</t>
        </is>
      </c>
      <c r="C25" s="13" t="n"/>
      <c r="D25" s="14" t="n"/>
      <c r="E25" s="15">
        <f>IF(AND(C25&lt;&gt;"",D25&lt;&gt;""),C25*D25,0)</f>
        <v/>
      </c>
      <c r="F25" s="3" t="inlineStr">
        <is>
          <t>S</t>
        </is>
      </c>
      <c r="G25" s="3" t="inlineStr">
        <is>
          <t>S</t>
        </is>
      </c>
    </row>
    <row r="26">
      <c r="A26" s="12" t="inlineStr">
        <is>
          <t>005</t>
        </is>
      </c>
      <c r="B26" s="9" t="inlineStr">
        <is>
          <t>Prorrata pagas extraordinarias</t>
        </is>
      </c>
      <c r="C26" s="13" t="n"/>
      <c r="D26" s="14" t="n"/>
      <c r="E26" s="15">
        <f>IF(AND(C26&lt;&gt;"",D26&lt;&gt;""),C26*D26,0)</f>
        <v/>
      </c>
      <c r="F26" s="3" t="inlineStr">
        <is>
          <t>S</t>
        </is>
      </c>
      <c r="G26" s="3" t="inlineStr">
        <is>
          <t>S</t>
        </is>
      </c>
    </row>
    <row r="27">
      <c r="A27" s="12" t="inlineStr">
        <is>
          <t>006</t>
        </is>
      </c>
      <c r="B27" s="9" t="inlineStr">
        <is>
          <t>Incentivos / primas por objetivos</t>
        </is>
      </c>
      <c r="C27" s="13" t="n"/>
      <c r="D27" s="14" t="n"/>
      <c r="E27" s="15">
        <f>IF(AND(C27&lt;&gt;"",D27&lt;&gt;""),C27*D27,0)</f>
        <v/>
      </c>
      <c r="F27" s="3" t="inlineStr">
        <is>
          <t>S</t>
        </is>
      </c>
      <c r="G27" s="3" t="inlineStr">
        <is>
          <t>S</t>
        </is>
      </c>
    </row>
    <row r="28">
      <c r="A28" s="12" t="inlineStr">
        <is>
          <t>007</t>
        </is>
      </c>
      <c r="B28" s="9" t="inlineStr">
        <is>
          <t>Dietas y gastos de viaje (exentas)</t>
        </is>
      </c>
      <c r="C28" s="13" t="n"/>
      <c r="D28" s="14" t="n"/>
      <c r="E28" s="15">
        <f>IF(AND(C28&lt;&gt;"",D28&lt;&gt;""),C28*D28,0)</f>
        <v/>
      </c>
      <c r="F28" s="3" t="inlineStr">
        <is>
          <t>N</t>
        </is>
      </c>
      <c r="G28" s="3" t="inlineStr">
        <is>
          <t>N</t>
        </is>
      </c>
    </row>
    <row r="29">
      <c r="A29" s="12" t="inlineStr">
        <is>
          <t>008</t>
        </is>
      </c>
      <c r="B29" s="9" t="inlineStr"/>
      <c r="C29" s="13" t="n"/>
      <c r="D29" s="14" t="n"/>
      <c r="E29" s="15">
        <f>IF(AND(C29&lt;&gt;"",D29&lt;&gt;""),C29*D29,0)</f>
        <v/>
      </c>
      <c r="F29" s="3" t="inlineStr">
        <is>
          <t>S</t>
        </is>
      </c>
      <c r="G29" s="3" t="inlineStr">
        <is>
          <t>S</t>
        </is>
      </c>
    </row>
    <row r="30">
      <c r="A30" s="12" t="inlineStr">
        <is>
          <t>009</t>
        </is>
      </c>
      <c r="B30" s="9" t="inlineStr"/>
      <c r="C30" s="13" t="n"/>
      <c r="D30" s="14" t="n"/>
      <c r="E30" s="15">
        <f>IF(AND(C30&lt;&gt;"",D30&lt;&gt;""),C30*D30,0)</f>
        <v/>
      </c>
      <c r="F30" s="3" t="inlineStr">
        <is>
          <t>S</t>
        </is>
      </c>
      <c r="G30" s="3" t="inlineStr">
        <is>
          <t>S</t>
        </is>
      </c>
    </row>
    <row r="31">
      <c r="A31" s="12" t="inlineStr">
        <is>
          <t>010</t>
        </is>
      </c>
      <c r="B31" s="9" t="inlineStr"/>
      <c r="C31" s="13" t="n"/>
      <c r="D31" s="14" t="n"/>
      <c r="E31" s="15">
        <f>IF(AND(C31&lt;&gt;"",D31&lt;&gt;""),C31*D31,0)</f>
        <v/>
      </c>
      <c r="F31" s="3" t="inlineStr">
        <is>
          <t>S</t>
        </is>
      </c>
      <c r="G31" s="3" t="inlineStr">
        <is>
          <t>S</t>
        </is>
      </c>
    </row>
    <row r="32">
      <c r="A32" s="16" t="inlineStr">
        <is>
          <t>TOTAL DEVENGADO</t>
        </is>
      </c>
      <c r="E32" s="17">
        <f>SUM(E22:E31)</f>
        <v/>
      </c>
    </row>
    <row r="34">
      <c r="A34" s="11" t="inlineStr">
        <is>
          <t>Bases:</t>
        </is>
      </c>
    </row>
    <row r="35">
      <c r="A35" s="18" t="inlineStr">
        <is>
          <t>Base de cotización Seguridad Social</t>
        </is>
      </c>
      <c r="E35" s="19">
        <f>SUMIF(F22:F31,"S",E22:E31)</f>
        <v/>
      </c>
    </row>
    <row r="36">
      <c r="A36" s="18" t="inlineStr">
        <is>
          <t>Base sujeta a IRPF</t>
        </is>
      </c>
      <c r="E36" s="19">
        <f>SUMIF(G22:G31,"S",E22:E31)</f>
        <v/>
      </c>
    </row>
    <row r="38">
      <c r="A38" s="10" t="inlineStr">
        <is>
          <t>Clave</t>
        </is>
      </c>
      <c r="B38" s="10" t="inlineStr">
        <is>
          <t>Deducciones</t>
        </is>
      </c>
      <c r="C38" s="10" t="inlineStr">
        <is>
          <t>Base</t>
        </is>
      </c>
      <c r="D38" s="10" t="inlineStr">
        <is>
          <t>Tipo %</t>
        </is>
      </c>
      <c r="E38" s="10" t="inlineStr">
        <is>
          <t>Importe</t>
        </is>
      </c>
    </row>
    <row r="39">
      <c r="A39" s="12" t="inlineStr">
        <is>
          <t>/350</t>
        </is>
      </c>
      <c r="B39" s="7" t="inlineStr">
        <is>
          <t>Contingencias comunes</t>
        </is>
      </c>
      <c r="C39" s="19">
        <f>E35</f>
        <v/>
      </c>
      <c r="D39" s="20" t="n">
        <v>0.047</v>
      </c>
      <c r="E39" s="19">
        <f>ROUND(C39*D39,2)</f>
        <v/>
      </c>
    </row>
    <row r="40">
      <c r="A40" s="12" t="inlineStr">
        <is>
          <t>/355</t>
        </is>
      </c>
      <c r="B40" s="7" t="inlineStr">
        <is>
          <t>Mecanismo Equidad Intergeneracional (MEI)</t>
        </is>
      </c>
      <c r="C40" s="19">
        <f>E35</f>
        <v/>
      </c>
      <c r="D40" s="20" t="n">
        <v>0.0015</v>
      </c>
      <c r="E40" s="19">
        <f>ROUND(C40*D40,2)</f>
        <v/>
      </c>
    </row>
    <row r="41">
      <c r="A41" s="12" t="inlineStr">
        <is>
          <t>/370</t>
        </is>
      </c>
      <c r="B41" s="7" t="inlineStr">
        <is>
          <t>Desempleo</t>
        </is>
      </c>
      <c r="C41" s="19">
        <f>E35</f>
        <v/>
      </c>
      <c r="D41" s="20" t="n">
        <v>0.0155</v>
      </c>
      <c r="E41" s="19">
        <f>ROUND(C41*D41,2)</f>
        <v/>
      </c>
    </row>
    <row r="42">
      <c r="A42" s="12" t="inlineStr">
        <is>
          <t>/380</t>
        </is>
      </c>
      <c r="B42" s="7" t="inlineStr">
        <is>
          <t>Formación profesional</t>
        </is>
      </c>
      <c r="C42" s="19">
        <f>E35</f>
        <v/>
      </c>
      <c r="D42" s="20" t="n">
        <v>0.001</v>
      </c>
      <c r="E42" s="19">
        <f>ROUND(C42*D42,2)</f>
        <v/>
      </c>
    </row>
    <row r="43">
      <c r="A43" s="12" t="inlineStr">
        <is>
          <t>/400</t>
        </is>
      </c>
      <c r="B43" s="7" t="inlineStr">
        <is>
          <t>Retención IRPF</t>
        </is>
      </c>
      <c r="C43" s="19">
        <f>E36</f>
        <v/>
      </c>
      <c r="D43" s="20" t="n">
        <v>0.18</v>
      </c>
      <c r="E43" s="19">
        <f>ROUND(C43*D43,2)</f>
        <v/>
      </c>
    </row>
    <row r="44">
      <c r="A44" s="12" t="inlineStr">
        <is>
          <t>/500</t>
        </is>
      </c>
      <c r="B44" s="9" t="inlineStr">
        <is>
          <t>Anticipos / otras deducciones</t>
        </is>
      </c>
      <c r="C44" s="7" t="inlineStr"/>
      <c r="D44" s="7" t="inlineStr"/>
      <c r="E44" s="21" t="n">
        <v>0</v>
      </c>
    </row>
    <row r="45">
      <c r="A45" s="16" t="inlineStr">
        <is>
          <t>TOTAL A DEDUCIR</t>
        </is>
      </c>
      <c r="E45" s="17">
        <f>SUM(E39:E44)</f>
        <v/>
      </c>
    </row>
    <row r="47">
      <c r="A47" s="22" t="inlineStr">
        <is>
          <t>LÍQUIDO A PERCIBIR</t>
        </is>
      </c>
      <c r="E47" s="23">
        <f>E32-E45</f>
        <v/>
      </c>
    </row>
    <row r="49">
      <c r="A49" s="4" t="inlineStr">
        <is>
          <t>Transferencia</t>
        </is>
      </c>
    </row>
    <row r="50">
      <c r="A50" s="5" t="inlineStr">
        <is>
          <t>Entidad</t>
        </is>
      </c>
      <c r="B50" s="6" t="n"/>
      <c r="C50" s="5" t="inlineStr">
        <is>
          <t>IBAN</t>
        </is>
      </c>
      <c r="D50" s="6" t="n"/>
      <c r="E50" s="6" t="n"/>
      <c r="F50" s="5" t="inlineStr">
        <is>
          <t>Fecha de pago</t>
        </is>
      </c>
      <c r="G50" s="6" t="n"/>
    </row>
    <row r="51">
      <c r="A51" s="9" t="inlineStr"/>
      <c r="B51" s="6" t="n"/>
      <c r="C51" s="9" t="inlineStr"/>
      <c r="D51" s="6" t="n"/>
      <c r="E51" s="6" t="n"/>
      <c r="F51" s="9" t="inlineStr"/>
      <c r="G51" s="6" t="n"/>
    </row>
    <row r="53">
      <c r="A53" s="24" t="inlineStr">
        <is>
          <t>Firma y sello de la empresa</t>
        </is>
      </c>
      <c r="E53" s="24" t="inlineStr">
        <is>
          <t>Recibí del trabajador</t>
        </is>
      </c>
    </row>
    <row r="54">
      <c r="A54" s="6" t="n"/>
      <c r="B54" s="6" t="n"/>
      <c r="C54" s="6" t="n"/>
      <c r="E54" s="6" t="n"/>
      <c r="F54" s="6" t="n"/>
      <c r="G54" s="6" t="n"/>
    </row>
    <row r="55">
      <c r="A55" s="6" t="n"/>
      <c r="B55" s="6" t="n"/>
      <c r="C55" s="6" t="n"/>
      <c r="E55" s="6" t="n"/>
      <c r="F55" s="6" t="n"/>
      <c r="G55" s="6" t="n"/>
    </row>
    <row r="56">
      <c r="A56" s="6" t="n"/>
      <c r="B56" s="6" t="n"/>
      <c r="C56" s="6" t="n"/>
      <c r="E56" s="6" t="n"/>
      <c r="F56" s="6" t="n"/>
      <c r="G56" s="6" t="n"/>
    </row>
    <row r="57">
      <c r="A57" s="6" t="n"/>
      <c r="B57" s="6" t="n"/>
      <c r="C57" s="6" t="n"/>
      <c r="E57" s="6" t="n"/>
      <c r="F57" s="6" t="n"/>
      <c r="G57" s="6" t="n"/>
    </row>
    <row r="59" ht="36" customHeight="1">
      <c r="A59" s="25" t="inlineStr">
        <is>
          <t>Leyenda: las celdas en amarillo con texto azul se rellenan a mano; las demás se calculan solas. Preparada para 3.800 € brutos al mes. El 18 % de IRPF es orientativo: ajústalo al tipo que dé el simulador de la AEAT para el trabajador. Los tipos de cotización son los vigentes para el trabajador en 2026; revísalos cada año.</t>
        </is>
      </c>
    </row>
  </sheetData>
  <mergeCells count="57">
    <mergeCell ref="C16:E16"/>
    <mergeCell ref="F11:G11"/>
    <mergeCell ref="C50:E50"/>
    <mergeCell ref="A15:B15"/>
    <mergeCell ref="E54:G57"/>
    <mergeCell ref="F16:G16"/>
    <mergeCell ref="A35:D35"/>
    <mergeCell ref="A11:B11"/>
    <mergeCell ref="A51:B51"/>
    <mergeCell ref="A4:G4"/>
    <mergeCell ref="F6:G6"/>
    <mergeCell ref="C12:E12"/>
    <mergeCell ref="A6:B6"/>
    <mergeCell ref="A10:G10"/>
    <mergeCell ref="F7:G7"/>
    <mergeCell ref="C51:E51"/>
    <mergeCell ref="B2:C2"/>
    <mergeCell ref="C11:E11"/>
    <mergeCell ref="F12:G12"/>
    <mergeCell ref="A7:B7"/>
    <mergeCell ref="A16:B16"/>
    <mergeCell ref="F15:G15"/>
    <mergeCell ref="F5:G5"/>
    <mergeCell ref="F51:G51"/>
    <mergeCell ref="C8:E8"/>
    <mergeCell ref="F18:G18"/>
    <mergeCell ref="C17:E17"/>
    <mergeCell ref="A53:C53"/>
    <mergeCell ref="F50:G50"/>
    <mergeCell ref="C7:E7"/>
    <mergeCell ref="A18:B18"/>
    <mergeCell ref="A59:G59"/>
    <mergeCell ref="A49:G49"/>
    <mergeCell ref="F17:G17"/>
    <mergeCell ref="A36:D36"/>
    <mergeCell ref="A12:B12"/>
    <mergeCell ref="F8:G8"/>
    <mergeCell ref="A45:D45"/>
    <mergeCell ref="A50:B50"/>
    <mergeCell ref="A1:G1"/>
    <mergeCell ref="A54:C57"/>
    <mergeCell ref="C13:E13"/>
    <mergeCell ref="E53:G53"/>
    <mergeCell ref="A5:B5"/>
    <mergeCell ref="C18:E18"/>
    <mergeCell ref="A14:B14"/>
    <mergeCell ref="F13:G13"/>
    <mergeCell ref="A17:B17"/>
    <mergeCell ref="A8:B8"/>
    <mergeCell ref="C15:E15"/>
    <mergeCell ref="C6:E6"/>
    <mergeCell ref="C14:E14"/>
    <mergeCell ref="C5:E5"/>
    <mergeCell ref="A13:B13"/>
    <mergeCell ref="F14:G14"/>
    <mergeCell ref="A47:D47"/>
    <mergeCell ref="A32:D32"/>
  </mergeCells>
  <dataValidations count="1">
    <dataValidation sqref="F22 F23 F24 F25 F26 F27 F28 F29 F30 F31 G22 G23 G24 G25 G26 G27 G28 G29 G30 G31" showDropDown="0" showInputMessage="0" showErrorMessage="0" allowBlank="1" type="list">
      <formula1>"S,N"</formula1>
    </dataValidation>
  </dataValidations>
  <pageMargins left="0.75" right="0.75" top="1" bottom="1" header="0.5" footer="0.5"/>
  <pageSetup orientation="portrait" fitToHeight="1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2026-09-29T19:28:45Z</dcterms:created>
  <dcterms:modified xsi:type="dcterms:W3CDTF">2026-09-29T19:28:45Z</dcterms:modified>
</cp:coreProperties>
</file>